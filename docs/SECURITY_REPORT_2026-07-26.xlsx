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サマリー" sheetId="1" state="visible" r:id="rId1"/>
    <sheet xmlns:r="http://schemas.openxmlformats.org/officeDocument/2006/relationships" name="指摘一覧"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Yu Gothic"/>
      <b val="1"/>
      <color rgb="001F4E78"/>
      <sz val="16"/>
    </font>
    <font>
      <name val="Yu Gothic"/>
      <color rgb="00000000"/>
      <sz val="10"/>
    </font>
    <font>
      <name val="Yu Gothic"/>
      <b val="1"/>
      <color rgb="00C00000"/>
      <sz val="11"/>
    </font>
    <font>
      <name val="Yu Gothic"/>
      <b val="1"/>
      <color rgb="00000000"/>
      <sz val="12"/>
    </font>
    <font>
      <name val="Yu Gothic"/>
      <b val="1"/>
      <color rgb="00FFFFFF"/>
      <sz val="11"/>
    </font>
    <font>
      <name val="Yu Gothic"/>
      <b val="1"/>
      <color rgb="00000000"/>
      <sz val="11"/>
    </font>
    <font>
      <name val="Yu Gothic"/>
      <color rgb="00000000"/>
      <sz val="11"/>
    </font>
    <font>
      <name val="Yu Gothic"/>
      <b val="1"/>
      <color rgb="00000000"/>
      <sz val="13"/>
    </font>
  </fonts>
  <fills count="8">
    <fill>
      <patternFill/>
    </fill>
    <fill>
      <patternFill patternType="gray125"/>
    </fill>
    <fill>
      <patternFill patternType="solid">
        <fgColor rgb="001F4E78"/>
      </patternFill>
    </fill>
    <fill>
      <patternFill patternType="solid">
        <fgColor rgb="00C00000"/>
      </patternFill>
    </fill>
    <fill>
      <patternFill patternType="solid">
        <fgColor rgb="00ED7D31"/>
      </patternFill>
    </fill>
    <fill>
      <patternFill patternType="solid">
        <fgColor rgb="00FFC000"/>
      </patternFill>
    </fill>
    <fill>
      <patternFill patternType="solid">
        <fgColor rgb="00BDD7EE"/>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5" fillId="3"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vertical="top" wrapText="1"/>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7" fillId="6" borderId="1" applyAlignment="1" pivotButton="0" quotePrefix="0" xfId="0">
      <alignment horizontal="center" vertical="center"/>
    </xf>
    <xf numFmtId="0" fontId="7" fillId="7" borderId="1" applyAlignment="1" pivotButton="0" quotePrefix="0" xfId="0">
      <alignment horizontal="center" vertical="center"/>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1"/>
  <sheetViews>
    <sheetView showGridLines="0" workbookViewId="0">
      <selection activeCell="A1" sqref="A1"/>
    </sheetView>
  </sheetViews>
  <sheetFormatPr baseColWidth="8" defaultRowHeight="15"/>
  <cols>
    <col width="14" customWidth="1" min="1" max="1"/>
    <col width="8" customWidth="1" min="2" max="2"/>
    <col width="42" customWidth="1" min="3" max="3"/>
  </cols>
  <sheetData>
    <row r="1">
      <c r="A1" s="1" t="inlineStr">
        <is>
          <t>セキュリティチェック レポート（ふりぃらじかるず（freeradicals・購買交渉支援 MVP））</t>
        </is>
      </c>
    </row>
    <row r="2">
      <c r="A2" s="2" t="inlineStr">
        <is>
          <t>実施日: 2026-07-26 / 対象: frontend=Next.js SSR コンテナ（Azure Container Apps・external ingress）／backend=FastAPI（app/ CORE ＋ kre/ 検索エンジン・Container Apps・external ingress）／DB=Azure MySQL 8.4（RLS 非対応・アプリ層テナント分離）／外部連携=Azure OpenAI・Azure AI Search</t>
        </is>
      </c>
    </row>
    <row r="3">
      <c r="A3" s="3" t="inlineStr">
        <is>
          <t>総合判定: 条件付き合格（2026-07-26 時点）。Blocker 2件（F-1・F-2）は本番で解消済みで、実測により塞がったことを確認した。テナント越境（IDOR）は全経路クリア。残存は本番未反映の F-7／F-9（main にはマージ済み）と、運用系の F-12、共用リソース由来の Low 3件（F-23〜F-25）。</t>
        </is>
      </c>
    </row>
    <row r="5">
      <c r="A5" s="4" t="inlineStr">
        <is>
          <t>■ 深刻度サマリ</t>
        </is>
      </c>
    </row>
    <row r="6">
      <c r="A6" s="5" t="inlineStr">
        <is>
          <t>深刻度</t>
        </is>
      </c>
      <c r="B6" s="5" t="inlineStr">
        <is>
          <t>件数</t>
        </is>
      </c>
      <c r="C6" s="5" t="inlineStr">
        <is>
          <t>説明</t>
        </is>
      </c>
    </row>
    <row r="7">
      <c r="A7" s="6" t="inlineStr">
        <is>
          <t>Blocker</t>
        </is>
      </c>
      <c r="B7" s="7">
        <f>COUNTIF(指摘一覧!C:C,"Blocker")</f>
        <v/>
      </c>
      <c r="C7" s="8" t="inlineStr">
        <is>
          <t>本番前に必ず修正</t>
        </is>
      </c>
    </row>
    <row r="8">
      <c r="A8" s="9" t="inlineStr">
        <is>
          <t>High</t>
        </is>
      </c>
      <c r="B8" s="7">
        <f>COUNTIF(指摘一覧!C:C,"High")</f>
        <v/>
      </c>
      <c r="C8" s="8" t="inlineStr">
        <is>
          <t>対応推奨</t>
        </is>
      </c>
    </row>
    <row r="9">
      <c r="A9" s="10" t="inlineStr">
        <is>
          <t>Medium</t>
        </is>
      </c>
      <c r="B9" s="7">
        <f>COUNTIF(指摘一覧!C:C,"Medium")</f>
        <v/>
      </c>
      <c r="C9" s="8" t="inlineStr">
        <is>
          <t>影響評価のうえ対応</t>
        </is>
      </c>
    </row>
    <row r="10">
      <c r="A10" s="11" t="inlineStr">
        <is>
          <t>Low</t>
        </is>
      </c>
      <c r="B10" s="7">
        <f>COUNTIF(指摘一覧!C:C,"Low")</f>
        <v/>
      </c>
      <c r="C10" s="8" t="inlineStr">
        <is>
          <t>多層防御・任意（本番前）</t>
        </is>
      </c>
    </row>
    <row r="11">
      <c r="A11" s="12" t="inlineStr">
        <is>
          <t>クリア</t>
        </is>
      </c>
      <c r="B11" s="7">
        <f>COUNTIF(指摘一覧!C:C,"クリア")</f>
        <v/>
      </c>
      <c r="C11" s="8" t="inlineStr">
        <is>
          <t>確認の結果 問題なし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showGridLines="0" workbookViewId="0">
      <pane ySplit="3" topLeftCell="A4" activePane="bottomLeft" state="frozen"/>
      <selection pane="bottomLeft" activeCell="A1" sqref="A1"/>
    </sheetView>
  </sheetViews>
  <sheetFormatPr baseColWidth="8" defaultRowHeight="15"/>
  <cols>
    <col width="10" customWidth="1" min="1" max="1"/>
    <col width="16" customWidth="1" min="2" max="2"/>
    <col width="11" customWidth="1" min="3" max="3"/>
    <col width="40" customWidth="1" min="4" max="4"/>
    <col width="42" customWidth="1" min="5" max="5"/>
    <col width="12" customWidth="1" min="6" max="6"/>
    <col width="40" customWidth="1" min="7" max="7"/>
    <col width="16" customWidth="1" min="8" max="8"/>
  </cols>
  <sheetData>
    <row r="1">
      <c r="A1" s="13" t="inlineStr">
        <is>
          <t>■ 指摘一覧（深刻度順）</t>
        </is>
      </c>
    </row>
    <row r="3">
      <c r="A3" s="5" t="inlineStr">
        <is>
          <t>ID</t>
        </is>
      </c>
      <c r="B3" s="5" t="inlineStr">
        <is>
          <t>種別/観点</t>
        </is>
      </c>
      <c r="C3" s="5" t="inlineStr">
        <is>
          <t>深刻度</t>
        </is>
      </c>
      <c r="D3" s="5" t="inlineStr">
        <is>
          <t>概要</t>
        </is>
      </c>
      <c r="E3" s="5" t="inlineStr">
        <is>
          <t>根拠・箇所</t>
        </is>
      </c>
      <c r="F3" s="5" t="inlineStr">
        <is>
          <t>対応要否</t>
        </is>
      </c>
      <c r="G3" s="5" t="inlineStr">
        <is>
          <t>推奨対応</t>
        </is>
      </c>
      <c r="H3" s="5" t="inlineStr">
        <is>
          <t>ステータス</t>
        </is>
      </c>
    </row>
    <row r="4">
      <c r="A4" s="8" t="inlineStr">
        <is>
          <t>F-1</t>
        </is>
      </c>
      <c r="B4" s="8" t="inlineStr">
        <is>
          <t>認証 / 認可（SAST＋手動IDOR）</t>
        </is>
      </c>
      <c r="C4" s="6" t="inlineStr">
        <is>
          <t>Blocker</t>
        </is>
      </c>
      <c r="D4" s="8" t="inlineStr">
        <is>
          <t>データ API のテナント判定がクライアント供給の X-Tenant-Id ヘッダのみで決まる → ID トークンともセッションとも突合せず、実在確認しかしないため、ログインを経ずに他テナントの全データを読み書きできる。</t>
        </is>
      </c>
      <c r="E4" s="8" t="inlineStr">
        <is>
          <t>backend/app/api/deps.py:50-66（get_current_tenant）・deps.py:43-47（get_current_user は X-User-Id を無検証）・frontend/src/lib/api.ts:427-433（localStorage の値をヘッダで送出）・app/main.py に認証ミドルウェア無し。実測: AUTH_MODE=google / APP_ENV=production の状態でログイン未経由・X-Tenant-Id のみで GET /api/cases → 200・全案件取得（IDOR ハーネス シナリオ#30）。get_current_tenant/get_current_user の定義は全体で各1箇所のみ＝代替の認証経路なし。全データルータが Depends(get_repo) 経由でこの依存を使用。</t>
        </is>
      </c>
      <c r="F4" s="8" t="inlineStr">
        <is>
          <t>本番前 必須（即時）</t>
        </is>
      </c>
      <c r="G4" s="8" t="inlineStr">
        <is>
          <t>検証済み Google ID トークン（または短命のサーバ発行セッショントークン）を Authorization ヘッダで受け、サーバ側検証の結果から tenant_id / user_id を導出する。X-Tenant-Id / X-User-Id はクライアントから受け取らない（AUTH_MODE=mock のときのみ現行方式を許可）。</t>
        </is>
      </c>
      <c r="H4" s="8" t="inlineStr">
        <is>
          <t>対応済み・本番デプロイ済み</t>
        </is>
      </c>
    </row>
    <row r="5">
      <c r="A5" s="8" t="inlineStr">
        <is>
          <t>F-2</t>
        </is>
      </c>
      <c r="B5" s="8" t="inlineStr">
        <is>
          <t>認証（手動IDOR）</t>
        </is>
      </c>
      <c r="C5" s="6" t="inlineStr">
        <is>
          <t>Blocker</t>
        </is>
      </c>
      <c r="D5" s="8" t="inlineStr">
        <is>
          <t>Google ログインが allowlist 無しで任意の Google アカウントを既定テナントへ自動プロビジョニングする → 誰でもログイン画面から tenant_id を入手でき、F-1 と連結して営業秘密が全世界へ開放される。</t>
        </is>
      </c>
      <c r="E5" s="8" t="inlineStr">
        <is>
          <t>backend/app/api/auth.py:76-100（google_login が _resolve_default_tenant を引数なしで呼ぶ）・auth.py:32-53（既定テナント固定・ドメイン制限なし）。実測: stranger@gmail.com 相当の検証済みトークンで POST /api/auth/google → 200・既定テナントの tenantId を取得（シナリオ#31）。GCP OAuth 同意画面の User Type は External（統括確認済み・2026-07-26）＝全世界の任意 Google アカウントが対象。</t>
        </is>
      </c>
      <c r="F5" s="8" t="inlineStr">
        <is>
          <t>本番前 必須（即時）</t>
        </is>
      </c>
      <c r="G5" s="8" t="inlineStr">
        <is>
          <t>許可 email（または許可ドメイン）の allowlist を設定または DB で持ち、未登録アカウントは 403 で拒否する。初回ログインの自動プロビジョニングは招待制（管理者の事前登録）へ変更する。</t>
        </is>
      </c>
      <c r="H5" s="8" t="inlineStr">
        <is>
          <t>対応済み・本番デプロイ済み</t>
        </is>
      </c>
    </row>
    <row r="6">
      <c r="A6" s="8" t="inlineStr">
        <is>
          <t>F-3</t>
        </is>
      </c>
      <c r="B6" s="8" t="inlineStr">
        <is>
          <t>認証 / 設定（手動IDOR）</t>
        </is>
      </c>
      <c r="C6" s="9" t="inlineStr">
        <is>
          <t>High</t>
        </is>
      </c>
      <c r="D6" s="8" t="inlineStr">
        <is>
          <t>APP_ENV=production で AUTH_MODE=mock を拒否するガードが無い → 環境変数の設定漏れ・上書き事故が一発でパスワード無検証のモックログインを本番に開く。</t>
        </is>
      </c>
      <c r="E6" s="8" t="inlineStr">
        <is>
          <t>backend/app/config.py:82（auth_mode の既定値が "mock"）・app/main.py:23-58（create_app に環境整合チェック無し）。実測: APP_ENV=production かつ AUTH_MODE=mock で POST /api/auth/login → 200・ログイン成功（シナリオ#32）。</t>
        </is>
      </c>
      <c r="F6" s="8" t="inlineStr">
        <is>
          <t>対応推奨（即時・小さく安全）</t>
        </is>
      </c>
      <c r="G6" s="8" t="inlineStr">
        <is>
          <t>Settings に model_validator を追加し、app_env==production かつ auth_mode==mock なら起動時に例外（fail-fast）。auth_mode==google かつ google_client_id 空でも起動失敗させる。</t>
        </is>
      </c>
      <c r="H6" s="8" t="inlineStr">
        <is>
          <t>対応済み・本番デプロイ済み</t>
        </is>
      </c>
    </row>
    <row r="7">
      <c r="A7" s="8" t="inlineStr">
        <is>
          <t>F-4</t>
        </is>
      </c>
      <c r="B7" s="8" t="inlineStr">
        <is>
          <t>SCA（依存脆弱性）</t>
        </is>
      </c>
      <c r="C7" s="9" t="inlineStr">
        <is>
          <t>High</t>
        </is>
      </c>
      <c r="D7" s="8" t="inlineStr">
        <is>
          <t>next@16.2.10 に High×3 / Medium×5（SSRF×2・ミドルウェアバイパス・キャッシュ混同・内部 Server Function の未認証開示） → frontend は SSR で本番稼働のため全機能が実際に動き、実影響がある。</t>
        </is>
      </c>
      <c r="E7" s="8" t="inlineStr">
        <is>
          <t>snyk test（frontend/package.json）で 13 issues（High 5 / Medium 8）。npm audit --omit=dev で本番依存 3 パッケージ。frontend/next.config.ts の output:"standalone" を確認＝静的エクスポートではない。随伴して sharp@0.34.5（High×2・libvips 継承の Heap/Integer Overflow）・postcss@8.4.31（XSS・パストラバーサル）も該当。検査バージョンの正本は frontend/package-lock.json。</t>
        </is>
      </c>
      <c r="F7" s="8" t="inlineStr">
        <is>
          <t>対応推奨</t>
        </is>
      </c>
      <c r="G7" s="8" t="inlineStr">
        <is>
          <t>next を 16.2.11 へ patch 更新する（sharp・postcss の指摘も随伴解消する見込み）。更新後に npm run build と lint で回帰を確認する。</t>
        </is>
      </c>
      <c r="H7" s="8" t="inlineStr">
        <is>
          <t>対応済み・本番デプロイ済み</t>
        </is>
      </c>
    </row>
    <row r="8">
      <c r="A8" s="8" t="inlineStr">
        <is>
          <t>F-5</t>
        </is>
      </c>
      <c r="B8" s="8" t="inlineStr">
        <is>
          <t>SCA（CI 運用）</t>
        </is>
      </c>
      <c r="C8" s="9" t="inlineStr">
        <is>
          <t>High</t>
        </is>
      </c>
      <c r="D8" s="8" t="inlineStr">
        <is>
          <t>Snyk CI ゲートに定期実行（schedule）が無い → 依存が変わらなくても新規公表された脆弱性を検知できず、CI green が現在の安全を意味しない。</t>
        </is>
      </c>
      <c r="E8" s="8" t="inlineStr">
        <is>
          <t>.github/workflows/security.yml のトリガは on: pull_request / push: branches:[main] のみで cron 無し。gh run list の最終実行は 2026-07-21。一方 Snyk は next の該当 8 件すべてを (new) 表示＝2026-07-21 以降の公表。</t>
        </is>
      </c>
      <c r="F8" s="8" t="inlineStr">
        <is>
          <t>対応推奨</t>
        </is>
      </c>
      <c r="G8" s="8" t="inlineStr">
        <is>
          <t>security.yml に schedule（例: 毎日1回の cron）を追加し、依存を触らない期間も新規 advisory を検知できるようにする。</t>
        </is>
      </c>
      <c r="H8" s="8" t="inlineStr">
        <is>
          <t>対応済み（main マージ済み・CI は即時有効）</t>
        </is>
      </c>
    </row>
    <row r="9">
      <c r="A9" s="8" t="inlineStr">
        <is>
          <t>F-6</t>
        </is>
      </c>
      <c r="B9" s="8" t="inlineStr">
        <is>
          <t>SCA（CI 運用）</t>
        </is>
      </c>
      <c r="C9" s="12" t="inlineStr">
        <is>
          <t>クリア</t>
        </is>
      </c>
      <c r="D9" s="8" t="inlineStr">
        <is>
          <t>【偽陽性・撤回】「ブランチ保護が未設定」と報告したが誤り → main には Rulesets `security-baseline` が active で存在し、Snyk 2ジョブを必須チェックに指定・bypass なし。規定 §6 基線5 は充足済み。</t>
        </is>
      </c>
      <c r="E9" s="8" t="inlineStr">
        <is>
          <t>確認に用いたのが classic branch protection の API（`/branches/main/protection` → 404）のみで、GitHub Rulesets が別 API（`/rulesets`）であることを見落とした。PR のマージが `the base branch policy prohibits the merge` で拒否されたことから発覚。</t>
        </is>
      </c>
      <c r="F9" s="8" t="inlineStr">
        <is>
          <t>不要（撤回）</t>
        </is>
      </c>
      <c r="G9" s="8" t="inlineStr">
        <is>
          <t>教訓: GitHub のブランチ保護は classic と Rulesets の2系統がある。片方の API だけで「未設定」と判定しない。</t>
        </is>
      </c>
      <c r="H9" s="8" t="inlineStr">
        <is>
          <t>撤回（偽陽性）</t>
        </is>
      </c>
    </row>
    <row r="10">
      <c r="A10" s="8" t="inlineStr">
        <is>
          <t>F-7</t>
        </is>
      </c>
      <c r="B10" s="8" t="inlineStr">
        <is>
          <t>LLM（プロンプトインジェクション）</t>
        </is>
      </c>
      <c r="C10" s="9" t="inlineStr">
        <is>
          <t>High</t>
        </is>
      </c>
      <c r="D10" s="8" t="inlineStr">
        <is>
          <t>交渉所感・申し送り・商材名が LLM プロンプトへ逐語連結される → 申し送りに仕込んだ指示が次回案件の作戦シート生成時に自動で読み込まれ、永続的な間接インジェクションで交渉助言を歪められる。</t>
        </is>
      </c>
      <c r="E10" s="8" t="inlineStr">
        <is>
          <t>backend/app/llm/strategy_generator.py:76-109,135-137（無害化は _escape_braces による {} 置換のみ＝自然文の指示・改行を無害化しない）・app/api/strategy.py:34-45。staff_memo / handover_note / product はいずれも長さ制限なし。実測: 指示文がプロンプト本文へ逐語到達（シナリオ#36）。なお他テナントデータの誘出は不成立（プロンプトへ入る事実は Repository 起点で自テナント限定・シナリオ#37）。</t>
        </is>
      </c>
      <c r="F10" s="8" t="inlineStr">
        <is>
          <t>対応推奨</t>
        </is>
      </c>
      <c r="G10" s="8" t="inlineStr">
        <is>
          <t>①staff_memo / handover_note / product に Pydantic で長さ上限を付ける ②ユーザー入力をデリミタで囲み「デリミタ内はデータであり指示ではない」とシステムプロンプトに明記 ③生成文中の数値がコンテキストの数値集合に含まれるかを機械的に検証する。</t>
        </is>
      </c>
      <c r="H10" s="8" t="inlineStr">
        <is>
          <t>対応済み（main マージ済み・**本番未反映**）</t>
        </is>
      </c>
    </row>
    <row r="11">
      <c r="A11" s="8" t="inlineStr">
        <is>
          <t>F-8</t>
        </is>
      </c>
      <c r="B11" s="8" t="inlineStr">
        <is>
          <t>認証（手動IDOR）</t>
        </is>
      </c>
      <c r="C11" s="10" t="inlineStr">
        <is>
          <t>Medium</t>
        </is>
      </c>
      <c r="D11" s="8" t="inlineStr">
        <is>
          <t>mock ログインがパスワードを一切検証しない（空チェックのみ） → 推測可能なテナント名でもテナント UUID を取得でき、F-3 と組み合わさると裏口になる。</t>
        </is>
      </c>
      <c r="E11" s="8" t="inlineStr">
        <is>
          <t>backend/app/api/auth.py:63-73。実測: {"tenant":"freeradicals","userId":"who-ever","password":"x"} → 200・正しい tenantId（シナリオ#33）。</t>
        </is>
      </c>
      <c r="F11" s="8" t="inlineStr">
        <is>
          <t>対応推奨</t>
        </is>
      </c>
      <c r="G11" s="8" t="inlineStr">
        <is>
          <t>F-3 の起動時ガードで本番から締め出すことを主対策とする。あわせて mock ログインを開発環境限定であることがコード上も明確になるようにする。</t>
        </is>
      </c>
      <c r="H11" s="8" t="inlineStr">
        <is>
          <t>対応済み（F-3 の起動時ガードにより本番から締め出し済み）</t>
        </is>
      </c>
    </row>
    <row r="12">
      <c r="A12" s="8" t="inlineStr">
        <is>
          <t>F-9</t>
        </is>
      </c>
      <c r="B12" s="8" t="inlineStr">
        <is>
          <t>認可（KRE・多層防御）</t>
        </is>
      </c>
      <c r="C12" s="10" t="inlineStr">
        <is>
          <t>Medium</t>
        </is>
      </c>
      <c r="D12" s="8" t="inlineStr">
        <is>
          <t>KRE の越境フィルタ enforce_tenant_boundary が summary_text を意図的に対象外にしている → LLM プロンプトから画面へ届く唯一の非フィルタ経路であり、多層防御の穴として残る。</t>
        </is>
      </c>
      <c r="E12" s="8" t="inlineStr">
        <is>
          <t>backend/kre/stub.py:49-75（hits/citations/nodes/edges は id 接頭辞で濾すが summary_text は素通し）・strategy.py:132 で ctx.graph_summary へ流入。現状の実害は無し（fixture 2件で自テナントのラベルのみを実確認）。AI Search の OData フィルタも summary_text を検査しない。</t>
        </is>
      </c>
      <c r="F12" s="8" t="inlineStr">
        <is>
          <t>対応推奨（多層防御）</t>
        </is>
      </c>
      <c r="G12" s="8" t="inlineStr">
        <is>
          <t>summary_text にも他テナント接頭辞の混入検査を行うか、summary をフィルタ済み nodes から再構築する方式へ変える。最低限、設計文書と要件 N-02 の「越境ゼロ」表記に対象外である旨を明記する。</t>
        </is>
      </c>
      <c r="H12" s="8" t="inlineStr">
        <is>
          <t>対応済み（main マージ済み・**本番未反映**）</t>
        </is>
      </c>
    </row>
    <row r="13">
      <c r="A13" s="8" t="inlineStr">
        <is>
          <t>F-10</t>
        </is>
      </c>
      <c r="B13" s="8" t="inlineStr">
        <is>
          <t>DAST（セキュリティヘッダ）</t>
        </is>
      </c>
      <c r="C13" s="10" t="inlineStr">
        <is>
          <t>Medium</t>
        </is>
      </c>
      <c r="D13" s="8" t="inlineStr">
        <is>
          <t>web（SSR）にセキュリティヘッダが一枚も配信されていない（CSP・X-Frame-Options・HSTS・Permissions-Policy・nosniff） → ログイン画面を持つ SSR のため XSS 緩和・クリックジャッキング防止・HTTPS 強制がいずれも欠如。</t>
        </is>
      </c>
      <c r="E13" s="8" t="inlineStr">
        <is>
          <t>本番 web への zap-baseline（FAIL 0 / WARN 10 / PASS 57）と curl -D - の実配信ヘッダで一致確認。frontend/next.config.ts に headers() 未設定・middleware 無し。</t>
        </is>
      </c>
      <c r="F13" s="8" t="inlineStr">
        <is>
          <t>対応推奨</t>
        </is>
      </c>
      <c r="G13" s="8" t="inlineStr">
        <is>
          <t>next.config.ts の headers() で CSP・X-Frame-Options: DENY・HSTS・Permissions-Policy・X-Content-Type-Options を配信する。CSP は Google GIS（accounts.google.com）の読み込みを壊さない範囲で設計する。</t>
        </is>
      </c>
      <c r="H13" s="8" t="inlineStr">
        <is>
          <t>対応済み・本番デプロイ済み</t>
        </is>
      </c>
    </row>
    <row r="14">
      <c r="A14" s="8" t="inlineStr">
        <is>
          <t>F-11</t>
        </is>
      </c>
      <c r="B14" s="8" t="inlineStr">
        <is>
          <t>SCA / 衛生</t>
        </is>
      </c>
      <c r="C14" s="10" t="inlineStr">
        <is>
          <t>Medium</t>
        </is>
      </c>
      <c r="D14" s="8" t="inlineStr">
        <is>
          <t>requirements.txt にテスト依存（pytest・httpx）が含まれ Dockerfile がそれをインストールする → 本番イメージにテストフレームワークが同梱され、攻撃面が不要に広がる。pytest@8.3.4 自体にも既知脆弱性（PYSEC-2026-1845）。</t>
        </is>
      </c>
      <c r="E14" s="8" t="inlineStr">
        <is>
          <t>backend/requirements.txt に pytest==8.3.4 / httpx==0.28.1。backend/Dockerfile が RUN pip install --no-cache-dir -r requirements.txt。pip-audit で pytest の指摘1件。</t>
        </is>
      </c>
      <c r="F14" s="8" t="inlineStr">
        <is>
          <t>対応推奨</t>
        </is>
      </c>
      <c r="G14" s="8" t="inlineStr">
        <is>
          <t>requirements-dev.txt へテスト依存を分離し、Dockerfile は本番用のみインストールする。あわせて pytest を 9.x へ更新する。</t>
        </is>
      </c>
      <c r="H14" s="8" t="inlineStr">
        <is>
          <t>対応済み（main マージ済み・次回イメージビルドで反映）</t>
        </is>
      </c>
    </row>
    <row r="15">
      <c r="A15" s="8" t="inlineStr">
        <is>
          <t>F-12</t>
        </is>
      </c>
      <c r="B15" s="8" t="inlineStr">
        <is>
          <t>SCA（運用）</t>
        </is>
      </c>
      <c r="C15" s="10" t="inlineStr">
        <is>
          <t>Medium</t>
        </is>
      </c>
      <c r="D15" s="8" t="inlineStr">
        <is>
          <t>Dependabot PR 13件が全て未マージのまま滞留している（全件 CI success） → セキュリティ更新が適用されず、依存が古いまま固定される。</t>
        </is>
      </c>
      <c r="E15" s="8" t="inlineStr">
        <is>
          <t>gh pr list → #15, #17〜#28 が OPEN（2026-07-21 起票）。requirements.txt は pytest==8.3.4 / openai==1.59.6 / structlog==24.4.0 のまま。</t>
        </is>
      </c>
      <c r="F15" s="8" t="inlineStr">
        <is>
          <t>対応推奨</t>
        </is>
      </c>
      <c r="G15" s="8" t="inlineStr">
        <is>
          <t>CI green の PR から順にレビュー・マージする。運用として Dependabot PR の棚卸し頻度を決める。</t>
        </is>
      </c>
      <c r="H15" s="8" t="inlineStr">
        <is>
          <t>未対応（別途・Dependabot PR 13件の棚卸し）</t>
        </is>
      </c>
    </row>
    <row r="16">
      <c r="A16" s="8" t="inlineStr">
        <is>
          <t>F-13</t>
        </is>
      </c>
      <c r="B16" s="8" t="inlineStr">
        <is>
          <t>SCA（運用・ツール可用性）</t>
        </is>
      </c>
      <c r="C16" s="10" t="inlineStr">
        <is>
          <t>Medium</t>
        </is>
      </c>
      <c r="D16" s="8" t="inlineStr">
        <is>
          <t>Snyk の月間テスト上限（200件・org nonooktk）に到達済み → 上限到達時 snyk test はエラー終了するため、CI のゲートが「赤」ではなく「エラー」で止まり見落とされやすい。本監査でも backend Snyk と Snyk Code が実行できなかった。</t>
        </is>
      </c>
      <c r="E16" s="8" t="inlineStr">
        <is>
          <t>snyk test 実行末尾に You have reached your monthly limit of 200 private tests for your nonooktk org.。backend は pip-audit で代替、SAST は Semgrep で代替。</t>
        </is>
      </c>
      <c r="F16" s="8" t="inlineStr">
        <is>
          <t>対応推奨</t>
        </is>
      </c>
      <c r="G16" s="8" t="inlineStr">
        <is>
          <t>上限の監視、または アカウント不要の npm audit / pip-audit を CI に併用してゲートの可用性を確保する。上限リセット後に Snyk Code を実行して埋め戻す。</t>
        </is>
      </c>
      <c r="H16" s="8" t="inlineStr">
        <is>
          <t>対応済み（main マージ済み・CI は即時有効）</t>
        </is>
      </c>
    </row>
    <row r="17">
      <c r="A17" s="8" t="inlineStr">
        <is>
          <t>F-14</t>
        </is>
      </c>
      <c r="B17" s="8" t="inlineStr">
        <is>
          <t>DAST（情報露出）</t>
        </is>
      </c>
      <c r="C17" s="11" t="inlineStr">
        <is>
          <t>Low</t>
        </is>
      </c>
      <c r="D17" s="8" t="inlineStr">
        <is>
          <t>api の /docs・/redoc・/openapi.json が未認証で公開されている → 全17エンドポイント・スキーマ・パラメータ構造が匿名で読め、攻撃面の情報が無償で開示される。</t>
        </is>
      </c>
      <c r="E17" s="8" t="inlineStr">
        <is>
          <t>/docs=200・/openapi.json=200（29KB）・/redoc=200 を本番で確認。/docs への zap-baseline は WARN 11件。</t>
        </is>
      </c>
      <c r="F17" s="8" t="inlineStr">
        <is>
          <t>任意（本番前の締め）</t>
        </is>
      </c>
      <c r="G17" s="8" t="inlineStr">
        <is>
          <t>本番（APP_ENV=production）では docs_url / redoc_url / openapi_url を None にして無効化する。</t>
        </is>
      </c>
      <c r="H17" s="8" t="inlineStr">
        <is>
          <t>対応済み・本番デプロイ済み</t>
        </is>
      </c>
    </row>
    <row r="18">
      <c r="A18" s="8" t="inlineStr">
        <is>
          <t>F-15</t>
        </is>
      </c>
      <c r="B18" s="8" t="inlineStr">
        <is>
          <t>DAST（セキュリティヘッダ）</t>
        </is>
      </c>
      <c r="C18" s="11" t="inlineStr">
        <is>
          <t>Low</t>
        </is>
      </c>
      <c r="D18" s="8" t="inlineStr">
        <is>
          <t>api・web ともに X-Content-Type-Options: nosniff が欠落している → MIME スニッフィングの抑止層が無い（TV_MVP の F-7 と同型）。</t>
        </is>
      </c>
      <c r="E18" s="8" t="inlineStr">
        <is>
          <t>本番 curl -D - とローカル能動スキャンの WARN で一致（/api/health・/api/auth/login・/api/me・/api/cases 等）。</t>
        </is>
      </c>
      <c r="F18" s="8" t="inlineStr">
        <is>
          <t>任意（本番前の締め）</t>
        </is>
      </c>
      <c r="G18" s="8" t="inlineStr">
        <is>
          <t>backend に全レスポンスへ nosniff を付与する HTTP ミドルウェアを追加する（TV_MVP と同じ手当て）。web 側は F-10 の headers() で同時解消する。</t>
        </is>
      </c>
      <c r="H18" s="8" t="inlineStr">
        <is>
          <t>対応済み・本番デプロイ済み</t>
        </is>
      </c>
    </row>
    <row r="19">
      <c r="A19" s="8" t="inlineStr">
        <is>
          <t>F-16</t>
        </is>
      </c>
      <c r="B19" s="8" t="inlineStr">
        <is>
          <t>認証（SAST）</t>
        </is>
      </c>
      <c r="C19" s="11" t="inlineStr">
        <is>
          <t>Low</t>
        </is>
      </c>
      <c r="D19" s="8" t="inlineStr">
        <is>
          <t>Google ログインが email_verified を検証していない → 未検証メールアドレスが監査ログの実行者識別子になりうる。F-2 の修正と同時に手当てすべき。</t>
        </is>
      </c>
      <c r="E19" s="8" t="inlineStr">
        <is>
          <t>backend/app/auth/google.py:66-69（sub の存在のみ確認）。なお ID トークン検証そのもの（aud・署名・iss・exp）は google-auth へ委譲されており適切（clock_skew 10秒）。</t>
        </is>
      </c>
      <c r="F19" s="8" t="inlineStr">
        <is>
          <t>任意（F-2 と同時）</t>
        </is>
      </c>
      <c r="G19" s="8" t="inlineStr">
        <is>
          <t>email_verified is True を必須化する。allowlist 照合（F-2）と同じ箇所で実施する。</t>
        </is>
      </c>
      <c r="H19" s="8" t="inlineStr">
        <is>
          <t>対応済み・本番デプロイ済み</t>
        </is>
      </c>
    </row>
    <row r="20">
      <c r="A20" s="8" t="inlineStr">
        <is>
          <t>F-17</t>
        </is>
      </c>
      <c r="B20" s="8" t="inlineStr">
        <is>
          <t>認可 / 監査証跡</t>
        </is>
      </c>
      <c r="C20" s="11" t="inlineStr">
        <is>
          <t>Low</t>
        </is>
      </c>
      <c r="D20" s="8" t="inlineStr">
        <is>
          <t>読み取り系 API が実行者識別（X-User-Id）を要求しない → テナント境界は保たれるが、誰が営業秘密を閲覧したかの監査証跡が残らない。</t>
        </is>
      </c>
      <c r="E20" s="8" t="inlineStr">
        <is>
          <t>backend/app/api/cases.py:31-36 ほか GET 系全般が get_repo → get_current_tenant のみに依存。実測: X-Tenant-Id のみで GET /api/cases → 200（シナリオ#34）。要件 N-02 の追記型監査ログとの乖離。</t>
        </is>
      </c>
      <c r="F20" s="8" t="inlineStr">
        <is>
          <t>任意</t>
        </is>
      </c>
      <c r="G20" s="8" t="inlineStr">
        <is>
          <t>F-1 の認証改修で認証主体が必須になれば自然に解消する。あわせて読み取りにも監査ログを出すか検討する。</t>
        </is>
      </c>
      <c r="H20" s="8" t="inlineStr">
        <is>
          <t>部分的に解消（F-1 により認証主体が必須化。読み取りの監査ログ出力は未実装）</t>
        </is>
      </c>
    </row>
    <row r="21">
      <c r="A21" s="8" t="inlineStr">
        <is>
          <t>F-18</t>
        </is>
      </c>
      <c r="B21" s="8" t="inlineStr">
        <is>
          <t>認可</t>
        </is>
      </c>
      <c r="C21" s="11" t="inlineStr">
        <is>
          <t>Low</t>
        </is>
      </c>
      <c r="D21" s="8" t="inlineStr">
        <is>
          <t>/api/reasons が無認証で公開されている → テナント固有情報は含まないが、認証必須であるべき API 群の中で唯一の無認証面。</t>
        </is>
      </c>
      <c r="E21" s="8" t="inlineStr">
        <is>
          <t>backend/app/api/results.py:81-84（依存は get_session のみ）。対象テーブル rate_change_reasons は tenant_id 列を持たない共有マスタ（models.py:100-108）。</t>
        </is>
      </c>
      <c r="F21" s="8" t="inlineStr">
        <is>
          <t>任意</t>
        </is>
      </c>
      <c r="G21" s="8" t="inlineStr">
        <is>
          <t>Deny by Default の観点から認証必須に揃える。</t>
        </is>
      </c>
      <c r="H21" s="8" t="inlineStr">
        <is>
          <t>未対応（任意）</t>
        </is>
      </c>
    </row>
    <row r="22">
      <c r="A22" s="8" t="inlineStr">
        <is>
          <t>F-19</t>
        </is>
      </c>
      <c r="B22" s="8" t="inlineStr">
        <is>
          <t>DAST（情報最小化）</t>
        </is>
      </c>
      <c r="C22" s="11" t="inlineStr">
        <is>
          <t>Low</t>
        </is>
      </c>
      <c r="D22" s="8" t="inlineStr">
        <is>
          <t>技術スタックが露出している（web=X-Powered-By: Next.js / api=server: uvicorn） → 攻撃者へのバージョン推測材料になる。</t>
        </is>
      </c>
      <c r="E22" s="8" t="inlineStr">
        <is>
          <t>本番 curl -D - で確認。</t>
        </is>
      </c>
      <c r="F22" s="8" t="inlineStr">
        <is>
          <t>任意</t>
        </is>
      </c>
      <c r="G22" s="8" t="inlineStr">
        <is>
          <t>next.config.ts の poweredByHeader: false を設定する。uvicorn の server ヘッダは --no-server-header 相当の設定で抑止できる。</t>
        </is>
      </c>
      <c r="H22" s="8" t="inlineStr">
        <is>
          <t>対応済み・本番デプロイ済み</t>
        </is>
      </c>
    </row>
    <row r="23">
      <c r="A23" s="8" t="inlineStr">
        <is>
          <t>F-20</t>
        </is>
      </c>
      <c r="B23" s="8" t="inlineStr">
        <is>
          <t>DAST（キャッシュ）</t>
        </is>
      </c>
      <c r="C23" s="11" t="inlineStr">
        <is>
          <t>Low</t>
        </is>
      </c>
      <c r="D23" s="8" t="inlineStr">
        <is>
          <t>web の SSR ページに cache-control: s-maxage=31536000 が付く → 共有キャッシュにテナント依存の内容が載る場合は情報混線の芽になる。現状はプリレンダー静的シェルで実害は無い見込み。</t>
        </is>
      </c>
      <c r="E23" s="8" t="inlineStr">
        <is>
          <t>/・/login・/cases で s-maxage=31536000 と x-nextjs-cache: HIT を確認。認証後データはクライアント fetch で取得しており、SSR にテナント固有データは載っていないと推測される。</t>
        </is>
      </c>
      <c r="F23" s="8" t="inlineStr">
        <is>
          <t>要確認</t>
        </is>
      </c>
      <c r="G23" s="8" t="inlineStr">
        <is>
          <t>SSR 応答にユーザー／テナント固有データを載せていないことをコード側で裏取りする。載せる場合は Cache-Control を private へ変更する。</t>
        </is>
      </c>
      <c r="H23" s="8" t="inlineStr">
        <is>
          <t>未確認（要確認のまま）</t>
        </is>
      </c>
    </row>
    <row r="24">
      <c r="A24" s="8" t="inlineStr">
        <is>
          <t>F-21</t>
        </is>
      </c>
      <c r="B24" s="8" t="inlineStr">
        <is>
          <t>SCA</t>
        </is>
      </c>
      <c r="C24" s="11" t="inlineStr">
        <is>
          <t>Low</t>
        </is>
      </c>
      <c r="D24" s="8" t="inlineStr">
        <is>
          <t>pip-audit が setuptools@65.5.0 に5件を指摘したが、これは監査用 venv が同梱したバージョンであり requirements.txt 由来ではない → 本番イメージでの実バージョン確認が必要。</t>
        </is>
      </c>
      <c r="E24" s="8" t="inlineStr">
        <is>
          <t>pip-audit（環境全体スキャン）で PYSEC-2022-43012 / PYSEC-2025-49 / PYSEC-2026-1918 / PYSEC-2026-3447。requirements.txt に setuptools の記載は無い。本番イメージは python:3.11-slim ベースで別バージョンの可能性が高い。</t>
        </is>
      </c>
      <c r="F24" s="8" t="inlineStr">
        <is>
          <t>要確認</t>
        </is>
      </c>
      <c r="G24" s="8" t="inlineStr">
        <is>
          <t>本番イメージ内で pip show setuptools を実行し実バージョンを確認してから判定する。該当しなければクリアとして落とす。</t>
        </is>
      </c>
      <c r="H24" s="8" t="inlineStr">
        <is>
          <t>未確認（要確認のまま）</t>
        </is>
      </c>
    </row>
    <row r="25">
      <c r="A25" s="8" t="inlineStr">
        <is>
          <t>F-22</t>
        </is>
      </c>
      <c r="B25" s="8" t="inlineStr">
        <is>
          <t>衛生</t>
        </is>
      </c>
      <c r="C25" s="11" t="inlineStr">
        <is>
          <t>Low</t>
        </is>
      </c>
      <c r="D25" s="8" t="inlineStr">
        <is>
          <t>「.github/dependabot 2.yml」という未追跡の重複ファイルが作業ツリーに存在する → 誤ってコミットされると Dependabot 設定が二重化する。</t>
        </is>
      </c>
      <c r="E25" s="8" t="inlineStr">
        <is>
          <t>git status --short → ?? ".github/dependabot 2.yml"。dependabot.yml と diff は差分なし。</t>
        </is>
      </c>
      <c r="F25" s="8" t="inlineStr">
        <is>
          <t>任意</t>
        </is>
      </c>
      <c r="G25" s="8" t="inlineStr">
        <is>
          <t>重複ファイルを削除する。</t>
        </is>
      </c>
      <c r="H25" s="8" t="inlineStr">
        <is>
          <t>対応済み（重複ファイルを削除）</t>
        </is>
      </c>
    </row>
    <row r="26">
      <c r="A26" s="8" t="inlineStr">
        <is>
          <t>C-1</t>
        </is>
      </c>
      <c r="B26" s="8" t="inlineStr">
        <is>
          <t>クリア（手動IDOR）</t>
        </is>
      </c>
      <c r="C26" s="12" t="inlineStr">
        <is>
          <t>クリア</t>
        </is>
      </c>
      <c r="D26" s="8" t="inlineStr">
        <is>
          <t>テナント越境（IDOR）は成立しない → データ API 12経路の GET/POST/PUT/PATCH 越境が全て 404 で遮断され、書込系でも他テナント行は不変。</t>
        </is>
      </c>
      <c r="E26" s="8" t="inlineStr">
        <is>
          <t>IDOR ハーネス 37シナリオ実測（backend/tests/test_idor_manual.py・新規40テスト）。TenantScopedRepository のバイパス経路は全数探索で 0 件。A と B が同一 case_no を持つ衝突ケースでも自テナント行のみ（複合 PK が有効）。ボディの tenantId 詐称・他テナント supplier_id（422）・冪等キー共有もすべて無効化。</t>
        </is>
      </c>
      <c r="F26" s="8" t="inlineStr">
        <is>
          <t>不要</t>
        </is>
      </c>
      <c r="G26" s="8" t="inlineStr">
        <is>
          <t>現状維持。ハーネスを CI へ組み込み回帰を継続検知することを推奨。</t>
        </is>
      </c>
      <c r="H26" s="8" t="inlineStr">
        <is>
          <t>クリア</t>
        </is>
      </c>
    </row>
    <row r="27">
      <c r="A27" s="8" t="inlineStr">
        <is>
          <t>C-2</t>
        </is>
      </c>
      <c r="B27" s="8" t="inlineStr">
        <is>
          <t>クリア（KRE 認可）</t>
        </is>
      </c>
      <c r="C27" s="12" t="inlineStr">
        <is>
          <t>クリア</t>
        </is>
      </c>
      <c r="D27" s="8" t="inlineStr">
        <is>
          <t>KRE の ID 名前空間による接頭辞判定は破れない → セグメント完全一致であり、tenant1 と tenant10 の接頭辞衝突は成立しない。</t>
        </is>
      </c>
      <c r="E27" s="8" t="inlineStr">
        <is>
          <t>kre/stub.py:39-46 の _tenant_of は identifier.split(":",1)[0] ＝ startswith ではない。実測でも tenant10 / tenant1x は除去（シナリオ#22）。区切りを持たない id は None を返し除去＝fail-closed（シナリオ#23）。</t>
        </is>
      </c>
      <c r="F27" s="8" t="inlineStr">
        <is>
          <t>不要</t>
        </is>
      </c>
      <c r="G27" s="8" t="inlineStr">
        <is>
          <t>現状維持。</t>
        </is>
      </c>
      <c r="H27" s="8" t="inlineStr">
        <is>
          <t>クリア</t>
        </is>
      </c>
    </row>
    <row r="28">
      <c r="A28" s="8" t="inlineStr">
        <is>
          <t>C-3</t>
        </is>
      </c>
      <c r="B28" s="8" t="inlineStr">
        <is>
          <t>クリア（SAST・インジェクション）</t>
        </is>
      </c>
      <c r="C28" s="12" t="inlineStr">
        <is>
          <t>クリア</t>
        </is>
      </c>
      <c r="D28" s="8" t="inlineStr">
        <is>
          <t>SQLi・OData インジェクション・パストラバーサル・XSS はいずれも成立しない → ORM 式のみ・三重防御のエスケープ・区切り文字置換・HTML 注入 sink 不在。</t>
        </is>
      </c>
      <c r="E28" s="8" t="inlineStr">
        <is>
          <t>Semgrep 324ルール×110ファイルで 0 件。text() 不使用・session.execute の全21箇所が ORM 式。kre/retrieval/vector_store.py:58-101 の _odata_quote（'→''）＋int() 型強制＋Pydantic extra=forbid。graph_path は区切り文字置換＋suffix 連結で脱出不可、かつ上流で DB 実在検証。frontend に dangerouslySetInnerHTML 等 0 件。実測でも OData 注入は '' に畳まれ封じ込め（シナリオ#24）。</t>
        </is>
      </c>
      <c r="F28" s="8" t="inlineStr">
        <is>
          <t>不要</t>
        </is>
      </c>
      <c r="G28" s="8" t="inlineStr">
        <is>
          <t>現状維持。</t>
        </is>
      </c>
      <c r="H28" s="8" t="inlineStr">
        <is>
          <t>クリア</t>
        </is>
      </c>
    </row>
    <row r="29">
      <c r="A29" s="8" t="inlineStr">
        <is>
          <t>C-4</t>
        </is>
      </c>
      <c r="B29" s="8" t="inlineStr">
        <is>
          <t>クリア（DAST・動的）</t>
        </is>
      </c>
      <c r="C29" s="12" t="inlineStr">
        <is>
          <t>クリア</t>
        </is>
      </c>
      <c r="D29" s="8" t="inlineStr">
        <is>
          <t>動的スキャンで実脆弱性はゼロ → 本番受動・ローカル能動（未認証＋認証注入）を通じ injection 系の能動ルールが全 PASS。</t>
        </is>
      </c>
      <c r="E29" s="8" t="inlineStr">
        <is>
          <t>本番受動: web 0 FAIL/10 WARN/57 PASS、api 0 FAIL/2 WARN/65 PASS。ローカル能動: 未認証 0 FAIL/2 WARN/116 PASS、mock 認証注入 0 FAIL/2 WARN/116 PASS。SQLi・XSS・パストラバーサル・SSTI・OS コマンド注入・XXE・Log4Shell・Cloud Metadata 露出などが全 PASS。認証注入により 200 応答 1,028 件＝認可の内側の本体まで能動ペイロードが到達したことを uvicorn ログ（総8,536リクエスト）で実証。</t>
        </is>
      </c>
      <c r="F29" s="8" t="inlineStr">
        <is>
          <t>不要</t>
        </is>
      </c>
      <c r="G29" s="8" t="inlineStr">
        <is>
          <t>現状維持。本番認証済み能動スキャンは次段候補。</t>
        </is>
      </c>
      <c r="H29" s="8" t="inlineStr">
        <is>
          <t>クリア</t>
        </is>
      </c>
    </row>
    <row r="30">
      <c r="A30" s="8" t="inlineStr">
        <is>
          <t>C-5</t>
        </is>
      </c>
      <c r="B30" s="8" t="inlineStr">
        <is>
          <t>クリア（CORS）</t>
        </is>
      </c>
      <c r="C30" s="12" t="inlineStr">
        <is>
          <t>クリア</t>
        </is>
      </c>
      <c r="D30" s="8" t="inlineStr">
        <is>
          <t>CORS は本番 web の URL のみに絞られている → ワイルドカードでも echo-back でもなく、evil origin の preflight は 400 で拒否される。</t>
        </is>
      </c>
      <c r="E30" s="8" t="inlineStr">
        <is>
          <t>本番 api への実測: evil origin 単純 GET は ACAO を返さない／evil origin preflight は 400 Disallowed CORS origin／正規 web origin preflight のみ 200 で ACAO 付与。allow_credentials=true だが許可 origin が単一完全一致のため CSWSH リスクは低い。</t>
        </is>
      </c>
      <c r="F30" s="8" t="inlineStr">
        <is>
          <t>不要</t>
        </is>
      </c>
      <c r="G30" s="8" t="inlineStr">
        <is>
          <t>F-1 の改修で Cookie ベースへ移行する場合は、この厳格さを維持すること。</t>
        </is>
      </c>
      <c r="H30" s="8" t="inlineStr">
        <is>
          <t>クリア</t>
        </is>
      </c>
    </row>
    <row r="31">
      <c r="A31" s="8" t="inlineStr">
        <is>
          <t>C-6</t>
        </is>
      </c>
      <c r="B31" s="8" t="inlineStr">
        <is>
          <t>クリア（認証・トークン検証）</t>
        </is>
      </c>
      <c r="C31" s="12" t="inlineStr">
        <is>
          <t>クリア</t>
        </is>
      </c>
      <c r="D31" s="8" t="inlineStr">
        <is>
          <t>Google ID トークンの検証そのものは適切 → aud・署名（JWKS）・iss・exp をライブラリへ委譲し、失敗は必ず例外化される。</t>
        </is>
      </c>
      <c r="E31" s="8" t="inlineStr">
        <is>
          <t>backend/app/auth/google.py:55-57 の id_token.verify_oauth2_token に client_id を渡し clock_skew_in_seconds=10。GOOGLE_CLIENT_ID 未設定時は検証せず GoogleAuthError＝fail-closed。sub 欠落も明示エラー。except Exception で捕捉するが必ず GoogleAuthError を再送出。</t>
        </is>
      </c>
      <c r="F31" s="8" t="inlineStr">
        <is>
          <t>不要</t>
        </is>
      </c>
      <c r="G31" s="8" t="inlineStr">
        <is>
          <t>検証は維持。問題は「検証後にどう扱うか」であり F-2 で対応する。</t>
        </is>
      </c>
      <c r="H31" s="8" t="inlineStr">
        <is>
          <t>クリア</t>
        </is>
      </c>
    </row>
    <row r="32">
      <c r="A32" s="8" t="inlineStr">
        <is>
          <t>C-7</t>
        </is>
      </c>
      <c r="B32" s="8" t="inlineStr">
        <is>
          <t>クリア（秘匿値・SCA）</t>
        </is>
      </c>
      <c r="C32" s="12" t="inlineStr">
        <is>
          <t>クリア</t>
        </is>
      </c>
      <c r="D32" s="8" t="inlineStr">
        <is>
          <t>秘匿値の混入は無く、backend の直接依存もクリーン → .env は除外・非追跡・履歴混入なし、pip-audit で直接依存の既知脆弱性 0 件。</t>
        </is>
      </c>
      <c r="E32" s="8" t="inlineStr">
        <is>
          <t>git check-ignore -v backend/.env → .gitignore:10 でマッチ。git ls-files で追跡は .env.example 系3件のみ。git log --all --full-history -- backend/.env → 出力なし。追跡ファイル内のベタ書き秘密 0 件。fastapi/starlette/uvicorn/SQLAlchemy/PyMySQL/alembic/openai/azure-search-documents/networkx/PyYAML/google-auth/httpx はいずれも既知脆弱性 0 件（2026-07-21 の starlette 1.3.1 ピンが有効）。検査バージョンの正本は backend/requirements.lock.txt。</t>
        </is>
      </c>
      <c r="F32" s="8" t="inlineStr">
        <is>
          <t>不要</t>
        </is>
      </c>
      <c r="G32" s="8" t="inlineStr">
        <is>
          <t>現状維持。</t>
        </is>
      </c>
      <c r="H32" s="8" t="inlineStr">
        <is>
          <t>クリア</t>
        </is>
      </c>
    </row>
    <row r="33">
      <c r="A33" s="8" t="inlineStr">
        <is>
          <t>F-23</t>
        </is>
      </c>
      <c r="B33" s="8" t="inlineStr">
        <is>
          <t>CSPM（共用リソース）</t>
        </is>
      </c>
      <c r="C33" s="11" t="inlineStr">
        <is>
          <t>Low</t>
        </is>
      </c>
      <c r="D33" s="8" t="inlineStr">
        <is>
          <t>ACR `acrrinaresua37c` の管理者資格情報が有効 → 静的な ID/パスワードが漏洩すればイメージの pull／push が可能になる。</t>
        </is>
      </c>
      <c r="E33" s="8" t="inlineStr">
        <is>
          <t>`az acr show` → `adminUserEnabled: true`（`anonymousPullEnabled: false` は健全）。</t>
        </is>
      </c>
      <c r="F33" s="8" t="inlineStr">
        <is>
          <t>任意</t>
        </is>
      </c>
      <c r="G33" s="8" t="inlineStr">
        <is>
          <t>管理者資格情報を無効化しマネージド ID／トークンへ寄せる。ただし rinaresu と共用のため単独判断で変更しない。</t>
        </is>
      </c>
      <c r="H33" s="8" t="inlineStr">
        <is>
          <t>未対応（共用リソース・要調整）</t>
        </is>
      </c>
    </row>
    <row r="34">
      <c r="A34" s="8" t="inlineStr">
        <is>
          <t>F-24</t>
        </is>
      </c>
      <c r="B34" s="8" t="inlineStr">
        <is>
          <t>CSPM（共用リソース）</t>
        </is>
      </c>
      <c r="C34" s="11" t="inlineStr">
        <is>
          <t>Low</t>
        </is>
      </c>
      <c r="D34" s="8" t="inlineStr">
        <is>
          <t>AI Search `srch-freeradicals-gen12` がパブリック網＋キー認証のみ → キーが漏れれば過去の交渉文書インデックスへ直接到達できる。</t>
        </is>
      </c>
      <c r="E34" s="8" t="inlineStr">
        <is>
          <t>`az search service show` → `publicNetworkAccess: Enabled` / `authOptions: apiKeyOnly` / `disableLocalAuth: false`。キーは Container Apps の secret 管理下にある点は健全。</t>
        </is>
      </c>
      <c r="F34" s="8" t="inlineStr">
        <is>
          <t>任意</t>
        </is>
      </c>
      <c r="G34" s="8" t="inlineStr">
        <is>
          <t>RBAC 併用またはネットワーク制限。本番運用へ移す際の検討事項。</t>
        </is>
      </c>
      <c r="H34" s="8" t="inlineStr">
        <is>
          <t>未対応</t>
        </is>
      </c>
    </row>
    <row r="35">
      <c r="A35" s="8" t="inlineStr">
        <is>
          <t>F-25</t>
        </is>
      </c>
      <c r="B35" s="8" t="inlineStr">
        <is>
          <t>CSPM（構造的）</t>
        </is>
      </c>
      <c r="C35" s="11" t="inlineStr">
        <is>
          <t>Low</t>
        </is>
      </c>
      <c r="D35" s="8" t="inlineStr">
        <is>
          <t>本番 DB が Tech0 の共用 MySQL サーバ上の1データベース → 他受講生の個人開発機 IP が11件滞留し、棚卸しの主体が自チームにない。</t>
        </is>
      </c>
      <c r="E35" s="8" t="inlineStr">
        <is>
          <t>`az mysql flexible-server firewall-rule list` で `ClientIPAddress_*` 等が11件。全開放ルールは無く TLS 強制は ON（致命傷なし）。</t>
        </is>
      </c>
      <c r="F35" s="8" t="inlineStr">
        <is>
          <t>任意</t>
        </is>
      </c>
      <c r="G35" s="8" t="inlineStr">
        <is>
          <t>講座の設計に起因する受け入れ済みリスク。本番運用へ移す際は専用サーバへの分離が前提。</t>
        </is>
      </c>
      <c r="H35" s="8" t="inlineStr">
        <is>
          <t>受容（構造的）</t>
        </is>
      </c>
    </row>
    <row r="36">
      <c r="A36" s="8" t="inlineStr">
        <is>
          <t>C-8</t>
        </is>
      </c>
      <c r="B36" s="8" t="inlineStr">
        <is>
          <t>クリア（CI 運用）</t>
        </is>
      </c>
      <c r="C36" s="12" t="inlineStr">
        <is>
          <t>クリア</t>
        </is>
      </c>
      <c r="D36" s="8" t="inlineStr">
        <is>
          <t>main のブランチ保護は機能している → Rulesets `security-baseline` が active で Snyk 2ジョブを必須チェックに指定、bypass 許可はゼロ。</t>
        </is>
      </c>
      <c r="E36" s="8" t="inlineStr">
        <is>
          <t>`gh api repos/nonooktk/food_supply_MVP/rulesets` → `security-baseline` / `enforcement: active` / `required_status_checks: [Snyk (npm), Snyk (pip)]` / `bypass_actors: []`。実際に PR #31 のマージが要件未達で拒否された。</t>
        </is>
      </c>
      <c r="F36" s="8" t="inlineStr">
        <is>
          <t>不要</t>
        </is>
      </c>
      <c r="G36" s="8" t="inlineStr">
        <is>
          <t>F-13 で追加したアカウント不要ジョブ（audit (npm) / audit (pip)）も必須チェックへ追加すると、Snyk 上限時のマージ不能を防げる。</t>
        </is>
      </c>
      <c r="H36" s="8" t="inlineStr">
        <is>
          <t>クリア</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2026-07-26T02:10:02Z</dcterms:created>
  <dcterms:modified xmlns:dcterms="http://purl.org/dc/terms/" xmlns:xsi="http://www.w3.org/2001/XMLSchema-instance" xsi:type="dcterms:W3CDTF">2026-07-26T02:10:02Z</dcterms:modified>
</cp:coreProperties>
</file>